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orizo S" sheetId="1" r:id="rId5"/>
    <sheet state="visible" name="Chorizo M" sheetId="2" r:id="rId6"/>
    <sheet state="visible" name="chorizo L" sheetId="3" r:id="rId7"/>
    <sheet state="visible" name="Rollo" sheetId="4" r:id="rId8"/>
    <sheet state="visible" name="Chicharron" sheetId="5" r:id="rId9"/>
    <sheet state="visible" name="Costilla" sheetId="6" r:id="rId10"/>
    <sheet state="visible" name="Producciones" sheetId="7" r:id="rId11"/>
    <sheet state="visible" name="Inventario_Prima" sheetId="8" r:id="rId12"/>
    <sheet state="visible" name="Inventario_Produ" sheetId="9" r:id="rId13"/>
  </sheets>
  <definedNames/>
  <calcPr/>
</workbook>
</file>

<file path=xl/sharedStrings.xml><?xml version="1.0" encoding="utf-8"?>
<sst xmlns="http://schemas.openxmlformats.org/spreadsheetml/2006/main" count="213" uniqueCount="126">
  <si>
    <t xml:space="preserve">Chorizos </t>
  </si>
  <si>
    <t>gr</t>
  </si>
  <si>
    <t xml:space="preserve">Cr </t>
  </si>
  <si>
    <t xml:space="preserve">Gr </t>
  </si>
  <si>
    <t xml:space="preserve">Pu </t>
  </si>
  <si>
    <t>Tripa</t>
  </si>
  <si>
    <t xml:space="preserve">Pt </t>
  </si>
  <si>
    <t>crispeta</t>
  </si>
  <si>
    <t>Ca</t>
  </si>
  <si>
    <t>Cl</t>
  </si>
  <si>
    <t>S1</t>
  </si>
  <si>
    <t>hilo</t>
  </si>
  <si>
    <t>Ga</t>
  </si>
  <si>
    <t>S2</t>
  </si>
  <si>
    <t>Hp</t>
  </si>
  <si>
    <t>B3</t>
  </si>
  <si>
    <t xml:space="preserve">mano de obra </t>
  </si>
  <si>
    <t>ETS1</t>
  </si>
  <si>
    <t xml:space="preserve">PRODUCCION TOTAL DE Chorizo S </t>
  </si>
  <si>
    <t>Pu</t>
  </si>
  <si>
    <t>Pt</t>
  </si>
  <si>
    <t>agua</t>
  </si>
  <si>
    <t>B1</t>
  </si>
  <si>
    <t>Valor gramo pesos</t>
  </si>
  <si>
    <t>valor precio</t>
  </si>
  <si>
    <t xml:space="preserve">Carne </t>
  </si>
  <si>
    <t>Grasa</t>
  </si>
  <si>
    <t>Cebolla</t>
  </si>
  <si>
    <t>Proteina</t>
  </si>
  <si>
    <t>sabor</t>
  </si>
  <si>
    <t>color</t>
  </si>
  <si>
    <t>sal</t>
  </si>
  <si>
    <t>glutamato</t>
  </si>
  <si>
    <t xml:space="preserve">sal nitro </t>
  </si>
  <si>
    <t xml:space="preserve">humo </t>
  </si>
  <si>
    <t>bolsas</t>
  </si>
  <si>
    <t>Total</t>
  </si>
  <si>
    <t>Unidadesx bache</t>
  </si>
  <si>
    <t>Valor por Unitario</t>
  </si>
  <si>
    <t>Rollo</t>
  </si>
  <si>
    <t>Polvo de biscocho</t>
  </si>
  <si>
    <t>Sabor</t>
  </si>
  <si>
    <t>Sal</t>
  </si>
  <si>
    <t>Aliminio</t>
  </si>
  <si>
    <t>Papel chicle</t>
  </si>
  <si>
    <t>Tocineta</t>
  </si>
  <si>
    <t>Cantidad rollo</t>
  </si>
  <si>
    <t xml:space="preserve">Valor por paquete </t>
  </si>
  <si>
    <t xml:space="preserve">Chicharron </t>
  </si>
  <si>
    <t>Jamon California</t>
  </si>
  <si>
    <t>Salmuera</t>
  </si>
  <si>
    <t xml:space="preserve">sal </t>
  </si>
  <si>
    <t>LOTE</t>
  </si>
  <si>
    <t>FECHA</t>
  </si>
  <si>
    <t>PRODUCTO</t>
  </si>
  <si>
    <t>TANDAS</t>
  </si>
  <si>
    <t>OPERARIO</t>
  </si>
  <si>
    <t>HORA</t>
  </si>
  <si>
    <t>PRODUCTOS REALIZADOS</t>
  </si>
  <si>
    <t>CHO-250325-01</t>
  </si>
  <si>
    <t>Chorizo 12</t>
  </si>
  <si>
    <t>camila</t>
  </si>
  <si>
    <t>CHO-230326-01</t>
  </si>
  <si>
    <t>Jeferson</t>
  </si>
  <si>
    <t>ROL-230326-01</t>
  </si>
  <si>
    <t>Claudia</t>
  </si>
  <si>
    <t>CHO18-230326-01</t>
  </si>
  <si>
    <t>Chorizo 18</t>
  </si>
  <si>
    <t>franklin</t>
  </si>
  <si>
    <t>INSUMOS</t>
  </si>
  <si>
    <t>EXISTECIA</t>
  </si>
  <si>
    <t>UNIDAD</t>
  </si>
  <si>
    <t>Cr</t>
  </si>
  <si>
    <t>carne</t>
  </si>
  <si>
    <t>Gr</t>
  </si>
  <si>
    <t>grasa</t>
  </si>
  <si>
    <t>sal normal</t>
  </si>
  <si>
    <t>sal nitro</t>
  </si>
  <si>
    <t xml:space="preserve">glutamato </t>
  </si>
  <si>
    <t>Jc</t>
  </si>
  <si>
    <t>jamon california</t>
  </si>
  <si>
    <t>proteina</t>
  </si>
  <si>
    <t>Sh</t>
  </si>
  <si>
    <t xml:space="preserve">sabor hamburguesa </t>
  </si>
  <si>
    <t>St</t>
  </si>
  <si>
    <t>salmuera tocineta</t>
  </si>
  <si>
    <t>chorizo antioqueño</t>
  </si>
  <si>
    <t>puerro</t>
  </si>
  <si>
    <t xml:space="preserve">proteina </t>
  </si>
  <si>
    <t xml:space="preserve">humo poli </t>
  </si>
  <si>
    <t>Pb</t>
  </si>
  <si>
    <t>polvo de biscocho</t>
  </si>
  <si>
    <t>18x28</t>
  </si>
  <si>
    <t>und</t>
  </si>
  <si>
    <t>B2</t>
  </si>
  <si>
    <t>20x30</t>
  </si>
  <si>
    <t>18x25</t>
  </si>
  <si>
    <t>B4</t>
  </si>
  <si>
    <t>18x22</t>
  </si>
  <si>
    <t>ETS</t>
  </si>
  <si>
    <t>etiquetas</t>
  </si>
  <si>
    <t>PRODUCTOS</t>
  </si>
  <si>
    <t>ENTRADA</t>
  </si>
  <si>
    <t>TIPO</t>
  </si>
  <si>
    <t>SALIDA</t>
  </si>
  <si>
    <t>VENDEDOR</t>
  </si>
  <si>
    <t>STOCK</t>
  </si>
  <si>
    <t>Chorizo s</t>
  </si>
  <si>
    <t>producción</t>
  </si>
  <si>
    <t>L0001</t>
  </si>
  <si>
    <t>claudia</t>
  </si>
  <si>
    <t>Costilla</t>
  </si>
  <si>
    <t>salida</t>
  </si>
  <si>
    <t>L0002</t>
  </si>
  <si>
    <t>Chicharron</t>
  </si>
  <si>
    <t xml:space="preserve">devolucion </t>
  </si>
  <si>
    <t>L0003</t>
  </si>
  <si>
    <t>jeferson</t>
  </si>
  <si>
    <t>produccion</t>
  </si>
  <si>
    <t>L0004</t>
  </si>
  <si>
    <t>producto</t>
  </si>
  <si>
    <t>stock</t>
  </si>
  <si>
    <t>Chorizo S</t>
  </si>
  <si>
    <t>Rollos</t>
  </si>
  <si>
    <t>chorizos M x5</t>
  </si>
  <si>
    <t>chorizo M x10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</si>
</sst>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-240A]#,##0.00;[RED]\([$$-240A]#,##0.00\)"/>
    <numFmt numFmtId="165" formatCode="yyyy-mm-dd"/>
    <numFmt numFmtId="166" formatCode="dd/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color rgb="FF000000"/>
      <name val="Ui-monospace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3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2" fontId="4" numFmtId="0" xfId="0" applyAlignment="1" applyFill="1" applyFont="1">
      <alignment shrinkToFit="0" vertical="bottom" wrapText="0"/>
    </xf>
    <xf borderId="0" fillId="0" fontId="3" numFmtId="165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20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" numFmtId="4" xfId="0" applyAlignment="1" applyFont="1" applyNumberForma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4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4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Chorizo 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orizo 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ci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ntario_Pri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ntario_Prod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ntario_Produ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7" displayName="Chorizo_S" name="Chorizo_S" id="1">
  <tableColumns count="2">
    <tableColumn name="Chorizos " id="1"/>
    <tableColumn name="gr" id="2"/>
  </tableColumns>
  <tableStyleInfo name="Chorizo S-style" showColumnStripes="0" showFirstColumn="1" showLastColumn="1" showRowStripes="1"/>
</table>
</file>

<file path=xl/tables/table2.xml><?xml version="1.0" encoding="utf-8"?>
<table xmlns="http://schemas.openxmlformats.org/spreadsheetml/2006/main" ref="A1:B18" displayName="Chorizo_M" name="Chorizo_M" id="2">
  <tableColumns count="2">
    <tableColumn name="Chorizos " id="1"/>
    <tableColumn name="gr" id="2"/>
  </tableColumns>
  <tableStyleInfo name="Chorizo M-style" showColumnStripes="0" showFirstColumn="1" showLastColumn="1" showRowStripes="1"/>
</table>
</file>

<file path=xl/tables/table3.xml><?xml version="1.0" encoding="utf-8"?>
<table xmlns="http://schemas.openxmlformats.org/spreadsheetml/2006/main" ref="A1:G5" displayName="Producciones" name="Producciones" id="3">
  <tableColumns count="7">
    <tableColumn name="LOTE" id="1"/>
    <tableColumn name="FECHA" id="2"/>
    <tableColumn name="PRODUCTO" id="3"/>
    <tableColumn name="TANDAS" id="4"/>
    <tableColumn name="OPERARIO" id="5"/>
    <tableColumn name="HORA" id="6"/>
    <tableColumn name="PRODUCTOS REALIZADOS" id="7"/>
  </tableColumns>
  <tableStyleInfo name="Producciones-style" showColumnStripes="0" showFirstColumn="1" showLastColumn="1" showRowStripes="1"/>
</table>
</file>

<file path=xl/tables/table4.xml><?xml version="1.0" encoding="utf-8"?>
<table xmlns="http://schemas.openxmlformats.org/spreadsheetml/2006/main" ref="A1:D21" displayName="INVENTARIO_PRIMA" name="INVENTARIO_PRIMA" id="4">
  <tableColumns count="4">
    <tableColumn name="Pu" id="1"/>
    <tableColumn name="INSUMOS" id="2"/>
    <tableColumn name="EXISTECIA" id="3"/>
    <tableColumn name="UNIDAD" id="4"/>
  </tableColumns>
  <tableStyleInfo name="Inventario_Prima-style" showColumnStripes="0" showFirstColumn="1" showLastColumn="1" showRowStripes="1"/>
</table>
</file>

<file path=xl/tables/table5.xml><?xml version="1.0" encoding="utf-8"?>
<table xmlns="http://schemas.openxmlformats.org/spreadsheetml/2006/main" ref="A1:H5" displayName="TABLA_DE_MOVIMIENTOS_" name="TABLA_DE_MOVIMIENTOS_" id="5">
  <tableColumns count="8">
    <tableColumn name="FECHA" id="1"/>
    <tableColumn name="PRODUCTOS" id="2"/>
    <tableColumn name="ENTRADA" id="3"/>
    <tableColumn name="TIPO" id="4"/>
    <tableColumn name="SALIDA" id="5"/>
    <tableColumn name="LOTE" id="6"/>
    <tableColumn name="VENDEDOR" id="7"/>
    <tableColumn name="STOCK" id="8"/>
  </tableColumns>
  <tableStyleInfo name="Inventario_Produ-style" showColumnStripes="0" showFirstColumn="1" showLastColumn="1" showRowStripes="1"/>
</table>
</file>

<file path=xl/tables/table6.xml><?xml version="1.0" encoding="utf-8"?>
<table xmlns="http://schemas.openxmlformats.org/spreadsheetml/2006/main" ref="K18:L22" displayName="STOCK_ACTUAL" name="STOCK_ACTUAL" id="6">
  <tableColumns count="2">
    <tableColumn name="producto" id="1"/>
    <tableColumn name="stock" id="2"/>
  </tableColumns>
  <tableStyleInfo name="Inventario_Produ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63"/>
    <col customWidth="1" min="2" max="2" width="11.5"/>
    <col customWidth="1" min="3" max="3" width="12.88"/>
    <col customWidth="1" min="4" max="4" width="15.5"/>
    <col customWidth="1" min="5" max="11" width="11.5"/>
    <col customWidth="1" min="12" max="24" width="8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>
        <v>18000.0</v>
      </c>
    </row>
    <row r="3" ht="12.75" customHeight="1">
      <c r="A3" s="3" t="s">
        <v>3</v>
      </c>
      <c r="B3" s="4">
        <v>12000.0</v>
      </c>
    </row>
    <row r="4" ht="12.75" customHeight="1">
      <c r="A4" s="3" t="s">
        <v>4</v>
      </c>
      <c r="B4" s="4">
        <v>200.0</v>
      </c>
    </row>
    <row r="5" ht="12.75" customHeight="1">
      <c r="A5" s="5" t="s">
        <v>5</v>
      </c>
      <c r="B5" s="6">
        <v>1.0</v>
      </c>
    </row>
    <row r="6" ht="12.75" customHeight="1">
      <c r="A6" s="3" t="s">
        <v>6</v>
      </c>
      <c r="B6" s="4">
        <v>350.0</v>
      </c>
    </row>
    <row r="7" ht="12.75" customHeight="1">
      <c r="A7" s="5" t="s">
        <v>7</v>
      </c>
      <c r="B7" s="4">
        <v>1600.0</v>
      </c>
    </row>
    <row r="8" ht="12.75" customHeight="1">
      <c r="A8" s="3" t="s">
        <v>8</v>
      </c>
      <c r="B8" s="4">
        <v>400.0</v>
      </c>
    </row>
    <row r="9" ht="12.75" customHeight="1">
      <c r="A9" s="3" t="s">
        <v>9</v>
      </c>
      <c r="B9" s="4">
        <v>660.0</v>
      </c>
      <c r="K9" s="7"/>
    </row>
    <row r="10" ht="12.75" customHeight="1">
      <c r="A10" s="3" t="s">
        <v>10</v>
      </c>
      <c r="B10" s="4">
        <v>120.0</v>
      </c>
    </row>
    <row r="11" ht="12.75" customHeight="1">
      <c r="A11" s="5" t="s">
        <v>11</v>
      </c>
      <c r="B11" s="4">
        <v>1.0</v>
      </c>
    </row>
    <row r="12" ht="12.75" customHeight="1">
      <c r="A12" s="3" t="s">
        <v>12</v>
      </c>
      <c r="B12" s="4">
        <v>30.0</v>
      </c>
    </row>
    <row r="13" ht="12.75" customHeight="1">
      <c r="A13" s="3" t="s">
        <v>13</v>
      </c>
      <c r="B13" s="4">
        <v>60.0</v>
      </c>
    </row>
    <row r="14" ht="12.75" customHeight="1">
      <c r="A14" s="3" t="s">
        <v>14</v>
      </c>
      <c r="B14" s="4">
        <v>120.0</v>
      </c>
    </row>
    <row r="15" ht="12.75" customHeight="1">
      <c r="A15" s="3" t="s">
        <v>15</v>
      </c>
      <c r="B15" s="4">
        <v>60.0</v>
      </c>
    </row>
    <row r="16" ht="12.75" customHeight="1">
      <c r="A16" s="5" t="s">
        <v>16</v>
      </c>
      <c r="B16" s="4">
        <v>1.0</v>
      </c>
    </row>
    <row r="17" ht="12.75" customHeight="1">
      <c r="A17" s="3" t="s">
        <v>17</v>
      </c>
      <c r="B17" s="4">
        <v>60.0</v>
      </c>
    </row>
    <row r="18" ht="12.75" customHeight="1"/>
    <row r="19" ht="12.75" customHeight="1"/>
    <row r="20" ht="12.75" customHeight="1"/>
    <row r="21" ht="35.25" customHeight="1">
      <c r="A21" s="8" t="s">
        <v>18</v>
      </c>
      <c r="B21" s="7">
        <v>60.0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dataValidations>
    <dataValidation type="custom" allowBlank="1" showDropDown="1" sqref="B2:B17">
      <formula1>AND(ISNUMBER(B2),(NOT(OR(NOT(ISERROR(DATEVALUE(B2))), AND(ISNUMBER(B2), LEFT(CELL("format", B2))="D")))))</formula1>
    </dataValidation>
  </dataValidations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13"/>
    <col customWidth="1" min="2" max="5" width="11.5"/>
    <col customWidth="1" min="6" max="24" width="8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>
        <v>18000.0</v>
      </c>
    </row>
    <row r="3" ht="12.75" customHeight="1">
      <c r="A3" s="3" t="s">
        <v>3</v>
      </c>
      <c r="B3" s="4">
        <v>12000.0</v>
      </c>
    </row>
    <row r="4" ht="12.75" customHeight="1">
      <c r="A4" s="3" t="s">
        <v>19</v>
      </c>
      <c r="B4" s="4">
        <v>200.0</v>
      </c>
    </row>
    <row r="5" ht="12.75" customHeight="1">
      <c r="A5" s="5" t="s">
        <v>5</v>
      </c>
      <c r="B5" s="6">
        <v>1.0</v>
      </c>
    </row>
    <row r="6" ht="12.75" customHeight="1">
      <c r="A6" s="3" t="s">
        <v>20</v>
      </c>
      <c r="B6" s="4">
        <v>400.0</v>
      </c>
    </row>
    <row r="7" ht="12.75" customHeight="1">
      <c r="A7" s="5" t="s">
        <v>7</v>
      </c>
      <c r="B7" s="4">
        <v>1600.0</v>
      </c>
    </row>
    <row r="8" ht="12.75" customHeight="1">
      <c r="A8" s="3" t="s">
        <v>8</v>
      </c>
      <c r="B8" s="4">
        <v>400.0</v>
      </c>
    </row>
    <row r="9" ht="12.75" customHeight="1">
      <c r="A9" s="3" t="s">
        <v>9</v>
      </c>
      <c r="B9" s="4">
        <v>660.0</v>
      </c>
    </row>
    <row r="10" ht="12.75" customHeight="1">
      <c r="A10" s="3" t="s">
        <v>10</v>
      </c>
      <c r="B10" s="4">
        <v>120.0</v>
      </c>
    </row>
    <row r="11" ht="12.75" customHeight="1">
      <c r="A11" s="5" t="s">
        <v>21</v>
      </c>
      <c r="B11" s="6"/>
    </row>
    <row r="12" ht="12.75" customHeight="1">
      <c r="A12" s="5" t="s">
        <v>11</v>
      </c>
      <c r="B12" s="4">
        <v>1.0</v>
      </c>
    </row>
    <row r="13" ht="12.75" customHeight="1">
      <c r="A13" s="3" t="s">
        <v>12</v>
      </c>
      <c r="B13" s="4">
        <v>30.0</v>
      </c>
    </row>
    <row r="14" ht="12.75" customHeight="1">
      <c r="A14" s="3" t="s">
        <v>13</v>
      </c>
      <c r="B14" s="4">
        <v>60.0</v>
      </c>
    </row>
    <row r="15" ht="12.75" customHeight="1">
      <c r="A15" s="3" t="s">
        <v>14</v>
      </c>
      <c r="B15" s="4">
        <v>120.0</v>
      </c>
    </row>
    <row r="16" ht="12.75" customHeight="1">
      <c r="A16" s="3" t="s">
        <v>22</v>
      </c>
      <c r="B16" s="4">
        <v>68.0</v>
      </c>
    </row>
    <row r="17" ht="12.75" customHeight="1">
      <c r="A17" s="5" t="s">
        <v>16</v>
      </c>
      <c r="B17" s="4">
        <v>1.0</v>
      </c>
    </row>
    <row r="18" ht="12.75" customHeight="1">
      <c r="A18" s="9" t="s">
        <v>17</v>
      </c>
      <c r="B18" s="10">
        <v>34.0</v>
      </c>
    </row>
    <row r="19" ht="12.75" customHeight="1"/>
    <row r="20" ht="12.75" customHeight="1"/>
    <row r="21" ht="12.75" customHeight="1">
      <c r="A21" s="8" t="s">
        <v>18</v>
      </c>
      <c r="B21" s="11">
        <v>34.0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custom" allowBlank="1" showDropDown="1" sqref="B2:B18">
      <formula1>AND(ISNUMBER(B2),(NOT(OR(NOT(ISERROR(DATEVALUE(B2))), AND(ISNUMBER(B2), LEFT(CELL("format", B2))="D")))))</formula1>
    </dataValidation>
  </dataValidations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19.13"/>
    <col customWidth="1" min="4" max="6" width="11.5"/>
    <col customWidth="1" min="7" max="26" width="8.63"/>
  </cols>
  <sheetData>
    <row r="1" ht="12.75" customHeight="1">
      <c r="A1" s="12" t="s">
        <v>0</v>
      </c>
      <c r="B1" s="13" t="s">
        <v>1</v>
      </c>
      <c r="C1" s="12" t="s">
        <v>23</v>
      </c>
      <c r="D1" s="14" t="s">
        <v>24</v>
      </c>
    </row>
    <row r="2" ht="12.75" customHeight="1">
      <c r="A2" s="12" t="s">
        <v>25</v>
      </c>
      <c r="B2" s="13">
        <v>18000.0</v>
      </c>
      <c r="C2" s="14">
        <v>18.5</v>
      </c>
      <c r="D2" s="14">
        <f t="shared" ref="D2:D17" si="1">(C2*B2)</f>
        <v>333000</v>
      </c>
    </row>
    <row r="3" ht="12.75" customHeight="1">
      <c r="A3" s="12" t="s">
        <v>26</v>
      </c>
      <c r="B3" s="13">
        <v>12000.0</v>
      </c>
      <c r="C3" s="14">
        <v>8.0</v>
      </c>
      <c r="D3" s="14">
        <f t="shared" si="1"/>
        <v>96000</v>
      </c>
    </row>
    <row r="4" ht="12.75" customHeight="1">
      <c r="A4" s="12" t="s">
        <v>27</v>
      </c>
      <c r="B4" s="13">
        <v>200.0</v>
      </c>
      <c r="C4" s="14">
        <v>38.0</v>
      </c>
      <c r="D4" s="14">
        <f t="shared" si="1"/>
        <v>7600</v>
      </c>
    </row>
    <row r="5" ht="12.75" customHeight="1">
      <c r="A5" s="12" t="s">
        <v>5</v>
      </c>
      <c r="B5" s="12">
        <v>1.0</v>
      </c>
      <c r="C5" s="14">
        <v>60000.0</v>
      </c>
      <c r="D5" s="14">
        <f t="shared" si="1"/>
        <v>60000</v>
      </c>
    </row>
    <row r="6" ht="12.75" customHeight="1">
      <c r="A6" s="12" t="s">
        <v>28</v>
      </c>
      <c r="B6" s="13">
        <v>400.0</v>
      </c>
      <c r="C6" s="14">
        <v>36.0</v>
      </c>
      <c r="D6" s="14">
        <f t="shared" si="1"/>
        <v>14400</v>
      </c>
    </row>
    <row r="7" ht="12.75" customHeight="1">
      <c r="A7" s="12" t="s">
        <v>7</v>
      </c>
      <c r="B7" s="13">
        <v>1600.0</v>
      </c>
      <c r="C7" s="14">
        <v>9.3</v>
      </c>
      <c r="D7" s="14">
        <f t="shared" si="1"/>
        <v>14880</v>
      </c>
    </row>
    <row r="8" ht="12.75" customHeight="1">
      <c r="A8" s="12" t="s">
        <v>29</v>
      </c>
      <c r="B8" s="13">
        <v>400.0</v>
      </c>
      <c r="C8" s="14">
        <v>16.0</v>
      </c>
      <c r="D8" s="14">
        <f t="shared" si="1"/>
        <v>6400</v>
      </c>
    </row>
    <row r="9" ht="12.75" customHeight="1">
      <c r="A9" s="12" t="s">
        <v>30</v>
      </c>
      <c r="B9" s="13">
        <v>660.0</v>
      </c>
      <c r="C9" s="14">
        <v>7.0</v>
      </c>
      <c r="D9" s="14">
        <f t="shared" si="1"/>
        <v>4620</v>
      </c>
    </row>
    <row r="10" ht="12.75" customHeight="1">
      <c r="A10" s="12" t="s">
        <v>31</v>
      </c>
      <c r="B10" s="13">
        <v>120.0</v>
      </c>
      <c r="C10" s="14">
        <v>3.0</v>
      </c>
      <c r="D10" s="14">
        <f t="shared" si="1"/>
        <v>360</v>
      </c>
    </row>
    <row r="11" ht="12.75" customHeight="1">
      <c r="A11" s="12" t="s">
        <v>21</v>
      </c>
      <c r="D11" s="14">
        <f t="shared" si="1"/>
        <v>0</v>
      </c>
    </row>
    <row r="12" ht="12.75" customHeight="1">
      <c r="A12" s="12" t="s">
        <v>11</v>
      </c>
      <c r="B12" s="13">
        <v>1.0</v>
      </c>
      <c r="C12" s="14">
        <v>2000.0</v>
      </c>
      <c r="D12" s="14">
        <f t="shared" si="1"/>
        <v>2000</v>
      </c>
    </row>
    <row r="13" ht="12.75" customHeight="1">
      <c r="A13" s="12" t="s">
        <v>32</v>
      </c>
      <c r="B13" s="13">
        <v>30.0</v>
      </c>
      <c r="C13" s="14">
        <v>22.7</v>
      </c>
      <c r="D13" s="14">
        <f t="shared" si="1"/>
        <v>681</v>
      </c>
    </row>
    <row r="14" ht="12.75" customHeight="1">
      <c r="A14" s="12" t="s">
        <v>33</v>
      </c>
      <c r="B14" s="13">
        <v>60.0</v>
      </c>
      <c r="C14" s="14">
        <v>4.0</v>
      </c>
      <c r="D14" s="14">
        <f t="shared" si="1"/>
        <v>240</v>
      </c>
    </row>
    <row r="15" ht="12.75" customHeight="1">
      <c r="A15" s="12" t="s">
        <v>34</v>
      </c>
      <c r="B15" s="13">
        <v>120.0</v>
      </c>
      <c r="C15" s="14">
        <v>19.1</v>
      </c>
      <c r="D15" s="14">
        <f t="shared" si="1"/>
        <v>2292</v>
      </c>
    </row>
    <row r="16" ht="12.75" customHeight="1">
      <c r="A16" s="12" t="s">
        <v>35</v>
      </c>
      <c r="D16" s="14">
        <f t="shared" si="1"/>
        <v>0</v>
      </c>
    </row>
    <row r="17" ht="12.75" customHeight="1">
      <c r="A17" s="12" t="s">
        <v>16</v>
      </c>
      <c r="B17" s="13">
        <v>1.0</v>
      </c>
      <c r="C17" s="14">
        <v>30000.0</v>
      </c>
      <c r="D17" s="14">
        <f t="shared" si="1"/>
        <v>30000</v>
      </c>
    </row>
    <row r="18" ht="12.75" customHeight="1">
      <c r="D18" s="14"/>
    </row>
    <row r="19" ht="12.75" customHeight="1">
      <c r="C19" s="12" t="s">
        <v>36</v>
      </c>
      <c r="D19" s="14">
        <f>SUM(D2:D18)</f>
        <v>572473</v>
      </c>
    </row>
    <row r="20" ht="12.75" customHeight="1">
      <c r="D20" s="14"/>
    </row>
    <row r="21" ht="12.75" customHeight="1">
      <c r="C21" s="12" t="s">
        <v>37</v>
      </c>
      <c r="D21" s="12">
        <v>224.0</v>
      </c>
    </row>
    <row r="22" ht="12.75" customHeight="1"/>
    <row r="23" ht="12.75" customHeight="1">
      <c r="D23" s="14"/>
    </row>
    <row r="24" ht="12.75" customHeight="1">
      <c r="D24" s="14"/>
    </row>
    <row r="25" ht="12.75" customHeight="1">
      <c r="C25" s="12" t="s">
        <v>38</v>
      </c>
      <c r="D25" s="14">
        <f>(D19/D21)</f>
        <v>2555.683036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1.5"/>
    <col customWidth="1" min="3" max="3" width="19.5"/>
    <col customWidth="1" min="4" max="6" width="11.5"/>
    <col customWidth="1" min="7" max="26" width="8.63"/>
  </cols>
  <sheetData>
    <row r="1" ht="12.75" customHeight="1">
      <c r="A1" s="12" t="s">
        <v>39</v>
      </c>
      <c r="B1" s="13" t="s">
        <v>1</v>
      </c>
      <c r="C1" s="12" t="s">
        <v>23</v>
      </c>
      <c r="D1" s="14" t="s">
        <v>24</v>
      </c>
    </row>
    <row r="2" ht="12.75" customHeight="1">
      <c r="A2" s="12" t="s">
        <v>25</v>
      </c>
      <c r="B2" s="13">
        <v>9000.0</v>
      </c>
      <c r="C2" s="14">
        <v>14.0</v>
      </c>
      <c r="D2" s="14">
        <f t="shared" ref="D2:D9" si="1">(C2*B2)</f>
        <v>126000</v>
      </c>
    </row>
    <row r="3" ht="12.75" customHeight="1">
      <c r="A3" s="12" t="s">
        <v>26</v>
      </c>
      <c r="B3" s="13">
        <v>6000.0</v>
      </c>
      <c r="C3" s="14">
        <v>6.0</v>
      </c>
      <c r="D3" s="14">
        <f t="shared" si="1"/>
        <v>36000</v>
      </c>
    </row>
    <row r="4" ht="12.75" customHeight="1">
      <c r="A4" s="12" t="s">
        <v>40</v>
      </c>
      <c r="B4" s="13">
        <v>1500.0</v>
      </c>
      <c r="C4" s="14">
        <v>6.8</v>
      </c>
      <c r="D4" s="14">
        <f t="shared" si="1"/>
        <v>10200</v>
      </c>
    </row>
    <row r="5" ht="12.75" customHeight="1">
      <c r="A5" s="12" t="s">
        <v>28</v>
      </c>
      <c r="B5" s="12">
        <v>600.0</v>
      </c>
      <c r="C5" s="14">
        <v>15.3</v>
      </c>
      <c r="D5" s="14">
        <f t="shared" si="1"/>
        <v>9180</v>
      </c>
    </row>
    <row r="6" ht="12.75" customHeight="1">
      <c r="A6" s="12" t="s">
        <v>41</v>
      </c>
      <c r="B6" s="13">
        <v>240.0</v>
      </c>
      <c r="C6" s="14">
        <v>51.5</v>
      </c>
      <c r="D6" s="14">
        <f t="shared" si="1"/>
        <v>12360</v>
      </c>
    </row>
    <row r="7" ht="12.75" customHeight="1">
      <c r="A7" s="12" t="s">
        <v>42</v>
      </c>
      <c r="B7" s="13">
        <v>150.0</v>
      </c>
      <c r="C7" s="14">
        <v>3.0</v>
      </c>
      <c r="D7" s="14">
        <f t="shared" si="1"/>
        <v>450</v>
      </c>
    </row>
    <row r="8" ht="12.75" customHeight="1">
      <c r="A8" s="12" t="s">
        <v>43</v>
      </c>
      <c r="B8" s="13">
        <v>1.0</v>
      </c>
      <c r="C8" s="14">
        <v>8000.0</v>
      </c>
      <c r="D8" s="14">
        <f t="shared" si="1"/>
        <v>8000</v>
      </c>
    </row>
    <row r="9" ht="12.75" customHeight="1">
      <c r="A9" s="12" t="s">
        <v>44</v>
      </c>
      <c r="B9" s="13">
        <v>1.0</v>
      </c>
      <c r="C9" s="14">
        <v>8000.0</v>
      </c>
      <c r="D9" s="14">
        <f t="shared" si="1"/>
        <v>8000</v>
      </c>
    </row>
    <row r="10" ht="12.75" customHeight="1">
      <c r="A10" s="12" t="s">
        <v>45</v>
      </c>
      <c r="B10" s="13">
        <v>1500.0</v>
      </c>
      <c r="C10" s="14">
        <v>6.0</v>
      </c>
      <c r="D10" s="14">
        <f>C10*B10</f>
        <v>9000</v>
      </c>
    </row>
    <row r="11" ht="12.75" customHeight="1">
      <c r="D11" s="14"/>
    </row>
    <row r="12" ht="12.75" customHeight="1">
      <c r="B12" s="13"/>
      <c r="C12" s="14"/>
      <c r="D12" s="14"/>
    </row>
    <row r="13" ht="12.75" customHeight="1">
      <c r="B13" s="13"/>
      <c r="C13" s="14"/>
      <c r="D13" s="14"/>
    </row>
    <row r="14" ht="12.75" customHeight="1">
      <c r="B14" s="13"/>
      <c r="C14" s="14"/>
      <c r="D14" s="14"/>
    </row>
    <row r="15" ht="12.75" customHeight="1">
      <c r="B15" s="13"/>
      <c r="C15" s="14"/>
      <c r="D15" s="14"/>
    </row>
    <row r="16" ht="12.75" customHeight="1">
      <c r="B16" s="13"/>
      <c r="C16" s="14"/>
      <c r="D16" s="14"/>
    </row>
    <row r="17" ht="12.75" customHeight="1">
      <c r="B17" s="13"/>
      <c r="C17" s="14"/>
      <c r="D17" s="14"/>
    </row>
    <row r="18" ht="12.75" customHeight="1">
      <c r="D18" s="14"/>
    </row>
    <row r="19" ht="12.75" customHeight="1">
      <c r="C19" s="12" t="s">
        <v>36</v>
      </c>
      <c r="D19" s="14">
        <f>SUM(D2:D18)</f>
        <v>219190</v>
      </c>
    </row>
    <row r="20" ht="12.75" customHeight="1">
      <c r="D20" s="14"/>
    </row>
    <row r="21" ht="12.75" customHeight="1">
      <c r="C21" s="12" t="s">
        <v>46</v>
      </c>
      <c r="D21" s="7">
        <v>30.0</v>
      </c>
    </row>
    <row r="22" ht="12.75" customHeight="1"/>
    <row r="23" ht="12.75" customHeight="1">
      <c r="D23" s="14"/>
    </row>
    <row r="24" ht="12.75" customHeight="1">
      <c r="D24" s="14"/>
    </row>
    <row r="25" ht="12.75" customHeight="1">
      <c r="C25" s="12" t="s">
        <v>47</v>
      </c>
      <c r="D25" s="14">
        <f>(D19/D21)</f>
        <v>7306.333333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1.5"/>
    <col customWidth="1" min="3" max="3" width="19.13"/>
    <col customWidth="1" min="4" max="4" width="13.75"/>
    <col customWidth="1" min="5" max="6" width="11.5"/>
    <col customWidth="1" min="7" max="26" width="8.63"/>
  </cols>
  <sheetData>
    <row r="1" ht="12.75" customHeight="1">
      <c r="A1" s="12" t="s">
        <v>48</v>
      </c>
      <c r="B1" s="13" t="s">
        <v>1</v>
      </c>
      <c r="C1" s="12" t="s">
        <v>23</v>
      </c>
      <c r="D1" s="14" t="s">
        <v>24</v>
      </c>
    </row>
    <row r="2" ht="12.75" customHeight="1">
      <c r="A2" s="12" t="s">
        <v>48</v>
      </c>
      <c r="B2" s="13">
        <v>1000.0</v>
      </c>
      <c r="C2" s="14">
        <v>22.0</v>
      </c>
      <c r="D2" s="14">
        <f t="shared" ref="D2:D8" si="1">(C2*B2)</f>
        <v>22000</v>
      </c>
    </row>
    <row r="3" ht="12.75" customHeight="1">
      <c r="A3" s="12" t="s">
        <v>49</v>
      </c>
      <c r="B3" s="13">
        <v>8.0</v>
      </c>
      <c r="C3" s="14">
        <v>27.9</v>
      </c>
      <c r="D3" s="14">
        <f t="shared" si="1"/>
        <v>223.2</v>
      </c>
    </row>
    <row r="4" ht="12.75" customHeight="1">
      <c r="A4" s="12" t="s">
        <v>50</v>
      </c>
      <c r="B4" s="13">
        <v>30.0</v>
      </c>
      <c r="C4" s="14">
        <v>16.5</v>
      </c>
      <c r="D4" s="14">
        <f t="shared" si="1"/>
        <v>495</v>
      </c>
    </row>
    <row r="5" ht="12.75" customHeight="1">
      <c r="A5" s="12" t="s">
        <v>33</v>
      </c>
      <c r="B5" s="13">
        <v>3.0</v>
      </c>
      <c r="C5" s="14">
        <v>4.0</v>
      </c>
      <c r="D5" s="14">
        <f t="shared" si="1"/>
        <v>12</v>
      </c>
    </row>
    <row r="6" ht="12.75" customHeight="1">
      <c r="A6" s="12" t="s">
        <v>32</v>
      </c>
      <c r="B6" s="13">
        <v>3.0</v>
      </c>
      <c r="C6" s="14">
        <v>22.7</v>
      </c>
      <c r="D6" s="14">
        <f t="shared" si="1"/>
        <v>68.1</v>
      </c>
    </row>
    <row r="7" ht="12.75" customHeight="1">
      <c r="A7" s="12" t="s">
        <v>35</v>
      </c>
      <c r="B7" s="13">
        <v>1.0</v>
      </c>
      <c r="C7" s="14">
        <v>290.0</v>
      </c>
      <c r="D7" s="14">
        <f t="shared" si="1"/>
        <v>290</v>
      </c>
    </row>
    <row r="8" ht="12.75" customHeight="1">
      <c r="A8" s="12" t="s">
        <v>51</v>
      </c>
      <c r="B8" s="13">
        <v>3.0</v>
      </c>
      <c r="C8" s="14">
        <v>3.0</v>
      </c>
      <c r="D8" s="14">
        <f t="shared" si="1"/>
        <v>9</v>
      </c>
    </row>
    <row r="9" ht="12.75" customHeight="1">
      <c r="B9" s="13"/>
      <c r="C9" s="14"/>
      <c r="D9" s="14"/>
    </row>
    <row r="10" ht="12.75" customHeight="1">
      <c r="B10" s="13"/>
      <c r="C10" s="14"/>
      <c r="D10" s="14"/>
    </row>
    <row r="11" ht="12.75" customHeight="1">
      <c r="D11" s="14"/>
    </row>
    <row r="12" ht="12.75" customHeight="1">
      <c r="B12" s="13"/>
      <c r="C12" s="14"/>
      <c r="D12" s="14"/>
    </row>
    <row r="13" ht="12.75" customHeight="1">
      <c r="B13" s="13"/>
      <c r="C13" s="14"/>
      <c r="D13" s="14"/>
    </row>
    <row r="14" ht="12.75" customHeight="1">
      <c r="B14" s="13"/>
      <c r="C14" s="14"/>
      <c r="D14" s="14"/>
    </row>
    <row r="15" ht="12.75" customHeight="1">
      <c r="B15" s="13"/>
      <c r="C15" s="14"/>
      <c r="D15" s="14"/>
    </row>
    <row r="16" ht="12.75" customHeight="1">
      <c r="B16" s="13"/>
      <c r="C16" s="14"/>
      <c r="D16" s="14"/>
    </row>
    <row r="17" ht="12.75" customHeight="1">
      <c r="B17" s="13"/>
      <c r="C17" s="14"/>
      <c r="D17" s="14"/>
    </row>
    <row r="18" ht="12.75" customHeight="1">
      <c r="D18" s="14"/>
    </row>
    <row r="19" ht="12.75" customHeight="1">
      <c r="C19" s="12" t="s">
        <v>36</v>
      </c>
      <c r="D19" s="14">
        <f>SUM(D2:D18)</f>
        <v>23097.3</v>
      </c>
    </row>
    <row r="20" ht="12.75" customHeight="1">
      <c r="D20" s="14"/>
    </row>
    <row r="21" ht="12.75" customHeight="1">
      <c r="D21" s="7"/>
    </row>
    <row r="22" ht="12.75" customHeight="1"/>
    <row r="23" ht="12.75" customHeight="1">
      <c r="D23" s="14"/>
    </row>
    <row r="24" ht="12.75" customHeight="1">
      <c r="D24" s="14"/>
    </row>
    <row r="25" ht="12.75" customHeight="1">
      <c r="D25" s="14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3" width="16.5"/>
    <col customWidth="1" min="4" max="6" width="11.5"/>
    <col customWidth="1" min="7" max="26" width="8.63"/>
  </cols>
  <sheetData>
    <row r="1" ht="12.75" customHeight="1">
      <c r="A1" s="12" t="s">
        <v>48</v>
      </c>
      <c r="B1" s="13" t="s">
        <v>1</v>
      </c>
      <c r="C1" s="12" t="s">
        <v>23</v>
      </c>
      <c r="D1" s="14" t="s">
        <v>24</v>
      </c>
    </row>
    <row r="2" ht="12.75" customHeight="1">
      <c r="A2" s="12" t="s">
        <v>48</v>
      </c>
      <c r="B2" s="13">
        <v>1000.0</v>
      </c>
      <c r="C2" s="14">
        <v>17.5</v>
      </c>
      <c r="D2" s="14">
        <f t="shared" ref="D2:D8" si="1">(C2*B2)</f>
        <v>17500</v>
      </c>
    </row>
    <row r="3" ht="12.75" customHeight="1">
      <c r="A3" s="12" t="s">
        <v>49</v>
      </c>
      <c r="B3" s="13">
        <v>8.0</v>
      </c>
      <c r="C3" s="14">
        <v>13.0</v>
      </c>
      <c r="D3" s="14">
        <f t="shared" si="1"/>
        <v>104</v>
      </c>
    </row>
    <row r="4" ht="12.75" customHeight="1">
      <c r="A4" s="12" t="s">
        <v>50</v>
      </c>
      <c r="B4" s="13">
        <v>30.0</v>
      </c>
      <c r="C4" s="14">
        <v>16.5</v>
      </c>
      <c r="D4" s="14">
        <f t="shared" si="1"/>
        <v>495</v>
      </c>
    </row>
    <row r="5" ht="12.75" customHeight="1">
      <c r="A5" s="12" t="s">
        <v>33</v>
      </c>
      <c r="B5" s="13">
        <v>3.0</v>
      </c>
      <c r="C5" s="14">
        <v>4.0</v>
      </c>
      <c r="D5" s="14">
        <f t="shared" si="1"/>
        <v>12</v>
      </c>
    </row>
    <row r="6" ht="12.75" customHeight="1">
      <c r="A6" s="12" t="s">
        <v>32</v>
      </c>
      <c r="B6" s="13">
        <v>3.0</v>
      </c>
      <c r="C6" s="14">
        <v>22.7</v>
      </c>
      <c r="D6" s="14">
        <f t="shared" si="1"/>
        <v>68.1</v>
      </c>
    </row>
    <row r="7" ht="12.75" customHeight="1">
      <c r="A7" s="12" t="s">
        <v>35</v>
      </c>
      <c r="B7" s="13">
        <v>1.0</v>
      </c>
      <c r="C7" s="14">
        <v>290.0</v>
      </c>
      <c r="D7" s="14">
        <f t="shared" si="1"/>
        <v>290</v>
      </c>
    </row>
    <row r="8" ht="12.75" customHeight="1">
      <c r="A8" s="12" t="s">
        <v>51</v>
      </c>
      <c r="B8" s="13">
        <v>3.0</v>
      </c>
      <c r="C8" s="14">
        <v>3.0</v>
      </c>
      <c r="D8" s="14">
        <f t="shared" si="1"/>
        <v>9</v>
      </c>
    </row>
    <row r="9" ht="12.75" customHeight="1">
      <c r="B9" s="13"/>
      <c r="C9" s="14"/>
      <c r="D9" s="14"/>
    </row>
    <row r="10" ht="12.75" customHeight="1">
      <c r="B10" s="13"/>
      <c r="C10" s="14"/>
      <c r="D10" s="14"/>
    </row>
    <row r="11" ht="12.75" customHeight="1">
      <c r="D11" s="14"/>
    </row>
    <row r="12" ht="12.75" customHeight="1">
      <c r="B12" s="13"/>
      <c r="C12" s="14"/>
      <c r="D12" s="14"/>
    </row>
    <row r="13" ht="12.75" customHeight="1">
      <c r="B13" s="13"/>
      <c r="C13" s="14"/>
      <c r="D13" s="14"/>
    </row>
    <row r="14" ht="12.75" customHeight="1">
      <c r="B14" s="13"/>
      <c r="C14" s="14"/>
      <c r="D14" s="14"/>
    </row>
    <row r="15" ht="12.75" customHeight="1">
      <c r="B15" s="13"/>
      <c r="C15" s="14"/>
      <c r="D15" s="14"/>
    </row>
    <row r="16" ht="12.75" customHeight="1">
      <c r="B16" s="13"/>
      <c r="C16" s="14"/>
      <c r="D16" s="14"/>
    </row>
    <row r="17" ht="12.75" customHeight="1">
      <c r="B17" s="13"/>
      <c r="C17" s="14"/>
      <c r="D17" s="14"/>
    </row>
    <row r="18" ht="12.75" customHeight="1">
      <c r="D18" s="14"/>
    </row>
    <row r="19" ht="12.75" customHeight="1">
      <c r="C19" s="12" t="s">
        <v>36</v>
      </c>
      <c r="D19" s="14">
        <f>SUM(D2:D18)</f>
        <v>18478.1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3" max="3" width="15.0"/>
    <col customWidth="1" min="5" max="5" width="14.25"/>
    <col customWidth="1" min="6" max="6" width="13.63"/>
    <col customWidth="1" min="7" max="7" width="18.5"/>
  </cols>
  <sheetData>
    <row r="1" ht="22.5" customHeight="1">
      <c r="A1" s="15" t="s">
        <v>52</v>
      </c>
      <c r="B1" s="15" t="s">
        <v>53</v>
      </c>
      <c r="C1" s="15" t="s">
        <v>54</v>
      </c>
      <c r="D1" s="15" t="s">
        <v>55</v>
      </c>
      <c r="E1" s="15" t="s">
        <v>56</v>
      </c>
      <c r="F1" s="15" t="s">
        <v>57</v>
      </c>
      <c r="G1" s="16" t="s">
        <v>58</v>
      </c>
    </row>
    <row r="2" ht="22.5" customHeight="1">
      <c r="A2" s="17" t="s">
        <v>59</v>
      </c>
      <c r="B2" s="18">
        <v>46103.0</v>
      </c>
      <c r="C2" s="19" t="s">
        <v>60</v>
      </c>
      <c r="D2" s="20">
        <v>2.0</v>
      </c>
      <c r="E2" s="19" t="s">
        <v>61</v>
      </c>
      <c r="F2" s="21">
        <v>0.2951388888888889</v>
      </c>
      <c r="G2" s="22"/>
    </row>
    <row r="3" ht="22.5" customHeight="1">
      <c r="A3" s="17" t="s">
        <v>62</v>
      </c>
      <c r="B3" s="18">
        <v>46104.0</v>
      </c>
      <c r="C3" s="19" t="s">
        <v>60</v>
      </c>
      <c r="D3" s="20">
        <v>1.0</v>
      </c>
      <c r="E3" s="19" t="s">
        <v>63</v>
      </c>
      <c r="F3" s="21">
        <v>0.5041666666666667</v>
      </c>
      <c r="G3" s="22"/>
    </row>
    <row r="4" ht="22.5" customHeight="1">
      <c r="A4" s="17" t="s">
        <v>64</v>
      </c>
      <c r="B4" s="18">
        <v>46104.0</v>
      </c>
      <c r="C4" s="19" t="s">
        <v>39</v>
      </c>
      <c r="D4" s="20">
        <v>1.0</v>
      </c>
      <c r="E4" s="19" t="s">
        <v>65</v>
      </c>
      <c r="F4" s="21">
        <v>0.5048611111111111</v>
      </c>
      <c r="G4" s="22"/>
    </row>
    <row r="5" ht="22.5" customHeight="1">
      <c r="A5" s="17" t="s">
        <v>66</v>
      </c>
      <c r="B5" s="18">
        <v>46104.0</v>
      </c>
      <c r="C5" s="19" t="s">
        <v>67</v>
      </c>
      <c r="D5" s="20">
        <v>1.0</v>
      </c>
      <c r="E5" s="19" t="s">
        <v>68</v>
      </c>
      <c r="F5" s="21">
        <v>0.50625</v>
      </c>
      <c r="G5" s="22"/>
    </row>
  </sheetData>
  <dataValidations>
    <dataValidation type="custom" allowBlank="1" showDropDown="1" sqref="F2:F5">
      <formula1>OR(TIMEVALUE(TEXT(F2, "hh:mm:ss"))=F2, AND(ISNUMBER(F2), LEFT(CELL("format", F2))="D"))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2" width="15.0"/>
    <col customWidth="1" min="3" max="3" width="14.13"/>
    <col customWidth="1" min="4" max="4" width="14.75"/>
    <col customWidth="1" min="5" max="5" width="13.75"/>
    <col customWidth="1" min="6" max="7" width="11.5"/>
    <col customWidth="1" min="8" max="27" width="8.63"/>
  </cols>
  <sheetData>
    <row r="1" ht="12.75" customHeight="1">
      <c r="A1" s="23" t="s">
        <v>19</v>
      </c>
      <c r="B1" s="23" t="s">
        <v>69</v>
      </c>
      <c r="C1" s="23" t="s">
        <v>70</v>
      </c>
      <c r="D1" s="23" t="s">
        <v>71</v>
      </c>
    </row>
    <row r="2" ht="12.75" customHeight="1">
      <c r="A2" s="23" t="s">
        <v>72</v>
      </c>
      <c r="B2" s="24" t="s">
        <v>73</v>
      </c>
      <c r="C2" s="25">
        <v>30000.0</v>
      </c>
      <c r="D2" s="26" t="s">
        <v>1</v>
      </c>
    </row>
    <row r="3" ht="12.75" customHeight="1">
      <c r="A3" s="23" t="s">
        <v>74</v>
      </c>
      <c r="B3" s="24" t="s">
        <v>75</v>
      </c>
      <c r="C3" s="25">
        <v>32000.0</v>
      </c>
      <c r="D3" s="26" t="s">
        <v>1</v>
      </c>
    </row>
    <row r="4" ht="12.75" customHeight="1">
      <c r="A4" s="23" t="s">
        <v>10</v>
      </c>
      <c r="B4" s="24" t="s">
        <v>76</v>
      </c>
      <c r="C4" s="25">
        <v>1110.0</v>
      </c>
      <c r="D4" s="26" t="s">
        <v>1</v>
      </c>
    </row>
    <row r="5" ht="12.75" customHeight="1">
      <c r="A5" s="23" t="s">
        <v>13</v>
      </c>
      <c r="B5" s="24" t="s">
        <v>77</v>
      </c>
      <c r="C5" s="27">
        <v>1320.0</v>
      </c>
      <c r="D5" s="26" t="s">
        <v>1</v>
      </c>
    </row>
    <row r="6" ht="12.75" customHeight="1">
      <c r="A6" s="23" t="s">
        <v>12</v>
      </c>
      <c r="B6" s="24" t="s">
        <v>78</v>
      </c>
      <c r="C6" s="25">
        <v>815.0</v>
      </c>
      <c r="D6" s="26" t="s">
        <v>1</v>
      </c>
    </row>
    <row r="7" ht="12.75" customHeight="1">
      <c r="A7" s="23" t="s">
        <v>79</v>
      </c>
      <c r="B7" s="24" t="s">
        <v>80</v>
      </c>
      <c r="C7" s="27">
        <v>1610.0</v>
      </c>
      <c r="D7" s="26" t="s">
        <v>1</v>
      </c>
    </row>
    <row r="8" ht="12.75" customHeight="1">
      <c r="A8" s="23" t="s">
        <v>20</v>
      </c>
      <c r="B8" s="24" t="s">
        <v>81</v>
      </c>
      <c r="C8" s="25">
        <v>265.0</v>
      </c>
      <c r="D8" s="26" t="s">
        <v>1</v>
      </c>
    </row>
    <row r="9" ht="12.75" customHeight="1">
      <c r="A9" s="23" t="s">
        <v>82</v>
      </c>
      <c r="B9" s="24" t="s">
        <v>83</v>
      </c>
      <c r="C9" s="25">
        <v>330.0</v>
      </c>
      <c r="D9" s="26" t="s">
        <v>1</v>
      </c>
    </row>
    <row r="10" ht="12.75" customHeight="1">
      <c r="A10" s="23" t="s">
        <v>84</v>
      </c>
      <c r="B10" s="24" t="s">
        <v>85</v>
      </c>
      <c r="C10" s="27">
        <v>1815.0</v>
      </c>
      <c r="D10" s="26" t="s">
        <v>1</v>
      </c>
    </row>
    <row r="11" ht="12.75" customHeight="1">
      <c r="A11" s="23" t="s">
        <v>8</v>
      </c>
      <c r="B11" s="24" t="s">
        <v>86</v>
      </c>
      <c r="C11" s="27">
        <v>1420.0</v>
      </c>
      <c r="D11" s="26" t="s">
        <v>1</v>
      </c>
    </row>
    <row r="12" ht="12.75" customHeight="1">
      <c r="A12" s="23" t="s">
        <v>19</v>
      </c>
      <c r="B12" s="24" t="s">
        <v>87</v>
      </c>
      <c r="C12" s="25">
        <v>830.0</v>
      </c>
      <c r="D12" s="26" t="s">
        <v>1</v>
      </c>
    </row>
    <row r="13" ht="12.75" customHeight="1">
      <c r="A13" s="28"/>
      <c r="B13" s="24" t="s">
        <v>88</v>
      </c>
      <c r="C13" s="25">
        <v>2000.0</v>
      </c>
      <c r="D13" s="26" t="s">
        <v>1</v>
      </c>
    </row>
    <row r="14" ht="12.75" customHeight="1">
      <c r="A14" s="23" t="s">
        <v>14</v>
      </c>
      <c r="B14" s="24" t="s">
        <v>89</v>
      </c>
      <c r="C14" s="25">
        <v>1075.0</v>
      </c>
      <c r="D14" s="26" t="s">
        <v>1</v>
      </c>
    </row>
    <row r="15" ht="12.75" customHeight="1">
      <c r="A15" s="23" t="s">
        <v>90</v>
      </c>
      <c r="B15" s="24" t="s">
        <v>91</v>
      </c>
      <c r="C15" s="25">
        <v>500.0</v>
      </c>
      <c r="D15" s="26" t="s">
        <v>1</v>
      </c>
    </row>
    <row r="16" ht="12.75" customHeight="1">
      <c r="A16" s="23" t="s">
        <v>22</v>
      </c>
      <c r="B16" s="24" t="s">
        <v>92</v>
      </c>
      <c r="C16" s="25">
        <v>246.0</v>
      </c>
      <c r="D16" s="26" t="s">
        <v>93</v>
      </c>
    </row>
    <row r="17" ht="12.75" customHeight="1">
      <c r="A17" s="23" t="s">
        <v>94</v>
      </c>
      <c r="B17" s="24" t="s">
        <v>95</v>
      </c>
      <c r="C17" s="25">
        <v>159.0</v>
      </c>
      <c r="D17" s="26" t="s">
        <v>93</v>
      </c>
    </row>
    <row r="18" ht="12.75" customHeight="1">
      <c r="A18" s="23" t="s">
        <v>15</v>
      </c>
      <c r="B18" s="24" t="s">
        <v>96</v>
      </c>
      <c r="C18" s="25">
        <v>118.0</v>
      </c>
      <c r="D18" s="26" t="s">
        <v>93</v>
      </c>
    </row>
    <row r="19" ht="12.75" customHeight="1">
      <c r="A19" s="23" t="s">
        <v>97</v>
      </c>
      <c r="B19" s="24" t="s">
        <v>98</v>
      </c>
      <c r="C19" s="25">
        <v>30.0</v>
      </c>
      <c r="D19" s="26" t="s">
        <v>93</v>
      </c>
    </row>
    <row r="20" ht="12.75" customHeight="1">
      <c r="A20" s="23" t="s">
        <v>9</v>
      </c>
      <c r="B20" s="24" t="s">
        <v>30</v>
      </c>
      <c r="C20" s="25">
        <v>10500.0</v>
      </c>
      <c r="D20" s="26" t="s">
        <v>1</v>
      </c>
    </row>
    <row r="21" ht="12.75" customHeight="1">
      <c r="A21" s="23" t="s">
        <v>99</v>
      </c>
      <c r="B21" s="29" t="s">
        <v>100</v>
      </c>
      <c r="C21" s="27">
        <v>0.0</v>
      </c>
      <c r="D21" s="26" t="s">
        <v>93</v>
      </c>
    </row>
    <row r="22" ht="12.75" customHeight="1"/>
    <row r="23" ht="12.75" customHeight="1">
      <c r="C23" s="30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DropDown="1" showErrorMessage="1" sqref="D2:D21">
      <formula1>"gr,und"</formula1>
    </dataValidation>
    <dataValidation type="custom" allowBlank="1" showDropDown="1" sqref="C2:C21">
      <formula1>AND(ISNUMBER(C2),(NOT(OR(NOT(ISERROR(DATEVALUE(C2))), AND(ISNUMBER(C2), LEFT(CELL("format", C2))="D")))))</formula1>
    </dataValidation>
  </dataValidations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18.38"/>
    <col customWidth="1" min="3" max="3" width="13.75"/>
    <col customWidth="1" min="4" max="5" width="16.5"/>
    <col customWidth="1" min="7" max="7" width="17.25"/>
    <col customWidth="1" min="9" max="9" width="16.5"/>
    <col customWidth="1" min="11" max="11" width="12.75"/>
  </cols>
  <sheetData>
    <row r="1" ht="22.5" customHeight="1">
      <c r="A1" s="31" t="s">
        <v>53</v>
      </c>
      <c r="B1" s="31" t="s">
        <v>101</v>
      </c>
      <c r="C1" s="31" t="s">
        <v>102</v>
      </c>
      <c r="D1" s="31" t="s">
        <v>103</v>
      </c>
      <c r="E1" s="31" t="s">
        <v>104</v>
      </c>
      <c r="F1" s="31" t="s">
        <v>52</v>
      </c>
      <c r="G1" s="31" t="s">
        <v>105</v>
      </c>
      <c r="H1" s="31" t="s">
        <v>106</v>
      </c>
    </row>
    <row r="2" ht="22.5" customHeight="1">
      <c r="A2" s="32">
        <v>46106.0</v>
      </c>
      <c r="B2" s="33" t="s">
        <v>107</v>
      </c>
      <c r="C2" s="3">
        <v>51.0</v>
      </c>
      <c r="D2" s="33" t="s">
        <v>108</v>
      </c>
      <c r="E2" s="3">
        <v>0.0</v>
      </c>
      <c r="F2" s="3" t="s">
        <v>109</v>
      </c>
      <c r="G2" s="33" t="s">
        <v>110</v>
      </c>
      <c r="H2" s="5">
        <f t="shared" ref="H2:H5" si="1">C2-E2</f>
        <v>51</v>
      </c>
    </row>
    <row r="3" ht="22.5" customHeight="1">
      <c r="A3" s="32">
        <v>46107.0</v>
      </c>
      <c r="B3" s="33" t="s">
        <v>111</v>
      </c>
      <c r="C3" s="3">
        <v>21.0</v>
      </c>
      <c r="D3" s="33" t="s">
        <v>112</v>
      </c>
      <c r="E3" s="3">
        <v>0.0</v>
      </c>
      <c r="F3" s="3" t="s">
        <v>113</v>
      </c>
      <c r="G3" s="33" t="s">
        <v>68</v>
      </c>
      <c r="H3" s="5">
        <f t="shared" si="1"/>
        <v>21</v>
      </c>
    </row>
    <row r="4" ht="22.5" customHeight="1">
      <c r="A4" s="32">
        <v>46108.0</v>
      </c>
      <c r="B4" s="33" t="s">
        <v>114</v>
      </c>
      <c r="C4" s="3">
        <v>1.0</v>
      </c>
      <c r="D4" s="33" t="s">
        <v>115</v>
      </c>
      <c r="E4" s="3">
        <v>0.0</v>
      </c>
      <c r="F4" s="3" t="s">
        <v>116</v>
      </c>
      <c r="G4" s="33" t="s">
        <v>117</v>
      </c>
      <c r="H4" s="5">
        <f t="shared" si="1"/>
        <v>1</v>
      </c>
    </row>
    <row r="5" ht="22.5" customHeight="1">
      <c r="A5" s="32">
        <v>46109.0</v>
      </c>
      <c r="B5" s="34"/>
      <c r="C5" s="3">
        <v>5.0</v>
      </c>
      <c r="D5" s="33" t="s">
        <v>118</v>
      </c>
      <c r="E5" s="3">
        <v>0.0</v>
      </c>
      <c r="F5" s="3" t="s">
        <v>119</v>
      </c>
      <c r="G5" s="33" t="s">
        <v>68</v>
      </c>
      <c r="H5" s="5">
        <f t="shared" si="1"/>
        <v>5</v>
      </c>
    </row>
    <row r="18" ht="22.5" customHeight="1">
      <c r="K18" s="31" t="s">
        <v>120</v>
      </c>
      <c r="L18" s="31" t="s">
        <v>121</v>
      </c>
    </row>
    <row r="19" ht="22.5" customHeight="1">
      <c r="K19" s="3" t="s">
        <v>122</v>
      </c>
      <c r="L19" s="3">
        <f t="shared" ref="L19:L22" si="2">H2</f>
        <v>51</v>
      </c>
    </row>
    <row r="20" ht="22.5" customHeight="1">
      <c r="K20" s="5" t="s">
        <v>123</v>
      </c>
      <c r="L20" s="3">
        <f t="shared" si="2"/>
        <v>21</v>
      </c>
    </row>
    <row r="21" ht="22.5" customHeight="1">
      <c r="K21" s="5" t="s">
        <v>124</v>
      </c>
      <c r="L21" s="3">
        <f t="shared" si="2"/>
        <v>1</v>
      </c>
    </row>
    <row r="22" ht="22.5" customHeight="1">
      <c r="K22" s="5" t="s">
        <v>125</v>
      </c>
      <c r="L22" s="3">
        <f t="shared" si="2"/>
        <v>5</v>
      </c>
    </row>
  </sheetData>
  <dataValidations>
    <dataValidation type="list" allowBlank="1" sqref="G2:G5">
      <formula1>"claudia,franklin,jeferson"</formula1>
    </dataValidation>
    <dataValidation type="custom" allowBlank="1" showDropDown="1" sqref="A2:A5">
      <formula1>OR(NOT(ISERROR(DATEVALUE(A2))), AND(ISNUMBER(A2), LEFT(CELL("format", A2))="D"))</formula1>
    </dataValidation>
    <dataValidation type="list" allowBlank="1" sqref="D2:D5">
      <formula1>"producción,salida,devolucion ,produccion"</formula1>
    </dataValidation>
    <dataValidation type="list" allowBlank="1" sqref="B2:B5">
      <formula1>"Chorizo s,Costilla,Chicharron"</formula1>
    </dataValidation>
  </dataValidations>
  <drawing r:id="rId1"/>
  <tableParts count="2">
    <tablePart r:id="rId4"/>
    <tablePart r:id="rId5"/>
  </tableParts>
</worksheet>
</file>